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uacbd-my.sharepoint.com/personal/s2210724113_ru_ac_bd/Documents/"/>
    </mc:Choice>
  </mc:AlternateContent>
  <xr:revisionPtr revIDLastSave="0" documentId="8_{8CA6DDC2-98B1-4402-AEFC-4081BDBB1774}" xr6:coauthVersionLast="47" xr6:coauthVersionMax="47" xr10:uidLastSave="{00000000-0000-0000-0000-000000000000}"/>
  <bookViews>
    <workbookView xWindow="-120" yWindow="-120" windowWidth="20730" windowHeight="11040" activeTab="3" xr2:uid="{9FFCB650-CB53-472E-AF0A-213F530527C6}"/>
  </bookViews>
  <sheets>
    <sheet name="Problem 01" sheetId="1" r:id="rId1"/>
    <sheet name="Problem 02" sheetId="3" r:id="rId2"/>
    <sheet name="Problem 03" sheetId="4" r:id="rId3"/>
    <sheet name="Problem 0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0" i="5" l="1"/>
  <c r="K17" i="5"/>
  <c r="K16" i="5"/>
  <c r="K15" i="5"/>
  <c r="K14" i="5"/>
  <c r="G17" i="5"/>
  <c r="G16" i="5"/>
  <c r="D16" i="5"/>
  <c r="D15" i="5"/>
  <c r="D14" i="5"/>
  <c r="G14" i="5"/>
  <c r="G15" i="5"/>
  <c r="G5" i="5"/>
  <c r="G6" i="5"/>
  <c r="G7" i="5"/>
  <c r="G8" i="5"/>
  <c r="F6" i="5"/>
  <c r="F7" i="5"/>
  <c r="F8" i="5"/>
  <c r="F5" i="5"/>
  <c r="I75" i="4" l="1"/>
  <c r="I74" i="4"/>
  <c r="I73" i="4"/>
  <c r="F62" i="4"/>
  <c r="F63" i="4"/>
  <c r="F64" i="4"/>
  <c r="F65" i="4"/>
  <c r="F66" i="4"/>
  <c r="F67" i="4"/>
  <c r="F68" i="4"/>
  <c r="F69" i="4"/>
  <c r="F70" i="4"/>
  <c r="F61" i="4"/>
  <c r="E34" i="4"/>
  <c r="E33" i="4"/>
  <c r="F5" i="4"/>
  <c r="E5" i="4"/>
  <c r="E6" i="4" s="1"/>
  <c r="O17" i="3"/>
  <c r="O15" i="3"/>
  <c r="O5" i="3"/>
  <c r="O6" i="3"/>
  <c r="O7" i="3"/>
  <c r="O8" i="3"/>
  <c r="O9" i="3"/>
  <c r="O10" i="3"/>
  <c r="O11" i="3"/>
  <c r="O12" i="3"/>
  <c r="O13" i="3"/>
  <c r="O14" i="3"/>
  <c r="O4" i="3"/>
  <c r="N5" i="3"/>
  <c r="N6" i="3"/>
  <c r="N7" i="3"/>
  <c r="N8" i="3"/>
  <c r="N9" i="3"/>
  <c r="N10" i="3"/>
  <c r="N11" i="3"/>
  <c r="N12" i="3"/>
  <c r="N13" i="3"/>
  <c r="N14" i="3"/>
  <c r="N4" i="3"/>
  <c r="M5" i="3"/>
  <c r="M6" i="3"/>
  <c r="M7" i="3"/>
  <c r="M8" i="3"/>
  <c r="M9" i="3"/>
  <c r="M10" i="3"/>
  <c r="M11" i="3"/>
  <c r="M12" i="3"/>
  <c r="M13" i="3"/>
  <c r="M14" i="3"/>
  <c r="M4" i="3"/>
  <c r="L3" i="3"/>
  <c r="L4" i="3"/>
  <c r="L5" i="3"/>
  <c r="L6" i="3"/>
  <c r="L7" i="3"/>
  <c r="L8" i="3"/>
  <c r="L9" i="3"/>
  <c r="L10" i="3"/>
  <c r="L11" i="3"/>
  <c r="L12" i="3"/>
  <c r="L13" i="3"/>
  <c r="L14" i="3"/>
  <c r="K4" i="3"/>
  <c r="K5" i="3"/>
  <c r="K6" i="3"/>
  <c r="K7" i="3"/>
  <c r="K8" i="3"/>
  <c r="K9" i="3"/>
  <c r="K10" i="3"/>
  <c r="K11" i="3"/>
  <c r="K12" i="3"/>
  <c r="K13" i="3"/>
  <c r="K14" i="3"/>
  <c r="K3" i="3"/>
  <c r="F23" i="3"/>
  <c r="J4" i="3"/>
  <c r="J5" i="3"/>
  <c r="J6" i="3"/>
  <c r="J7" i="3"/>
  <c r="J8" i="3"/>
  <c r="J9" i="3"/>
  <c r="J10" i="3"/>
  <c r="J11" i="3"/>
  <c r="J12" i="3"/>
  <c r="J13" i="3"/>
  <c r="J14" i="3"/>
  <c r="J3" i="3"/>
  <c r="F15" i="3"/>
  <c r="F17" i="3"/>
  <c r="E4" i="3"/>
  <c r="H4" i="3" s="1"/>
  <c r="E5" i="3"/>
  <c r="H5" i="3" s="1"/>
  <c r="E6" i="3"/>
  <c r="H6" i="3" s="1"/>
  <c r="E7" i="3"/>
  <c r="H7" i="3" s="1"/>
  <c r="E8" i="3"/>
  <c r="G8" i="3" s="1"/>
  <c r="E9" i="3"/>
  <c r="G9" i="3" s="1"/>
  <c r="E10" i="3"/>
  <c r="G10" i="3" s="1"/>
  <c r="E11" i="3"/>
  <c r="G11" i="3" s="1"/>
  <c r="E12" i="3"/>
  <c r="G12" i="3" s="1"/>
  <c r="E13" i="3"/>
  <c r="H13" i="3" s="1"/>
  <c r="E14" i="3"/>
  <c r="G14" i="3" s="1"/>
  <c r="I24" i="1"/>
  <c r="I23" i="1"/>
  <c r="I22" i="1"/>
  <c r="I21" i="1"/>
  <c r="K16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J5" i="1"/>
  <c r="I7" i="1"/>
  <c r="I8" i="1" s="1"/>
  <c r="I9" i="1" s="1"/>
  <c r="I10" i="1" s="1"/>
  <c r="I6" i="1"/>
  <c r="I5" i="1"/>
  <c r="E7" i="4" l="1"/>
  <c r="E35" i="4"/>
  <c r="F6" i="4"/>
  <c r="G7" i="3"/>
  <c r="G6" i="3"/>
  <c r="G5" i="3"/>
  <c r="H14" i="3"/>
  <c r="H12" i="3"/>
  <c r="H10" i="3"/>
  <c r="G13" i="3"/>
  <c r="H11" i="3"/>
  <c r="H9" i="3"/>
  <c r="G4" i="3"/>
  <c r="H8" i="3"/>
  <c r="I11" i="1"/>
  <c r="I12" i="1" s="1"/>
  <c r="I13" i="1" s="1"/>
  <c r="I14" i="1" s="1"/>
  <c r="I15" i="1" s="1"/>
  <c r="I16" i="1" s="1"/>
  <c r="F7" i="4" l="1"/>
  <c r="E36" i="4"/>
  <c r="E8" i="4"/>
  <c r="H15" i="3"/>
  <c r="G15" i="3"/>
  <c r="F19" i="3" s="1"/>
  <c r="F18" i="3"/>
  <c r="I20" i="1"/>
  <c r="E9" i="4" l="1"/>
  <c r="E37" i="4"/>
  <c r="F36" i="4"/>
  <c r="F8" i="4"/>
  <c r="F20" i="3"/>
  <c r="F22" i="3" s="1"/>
  <c r="I9" i="3"/>
  <c r="F21" i="3"/>
  <c r="I10" i="3"/>
  <c r="I12" i="3"/>
  <c r="I11" i="3"/>
  <c r="I13" i="3"/>
  <c r="I5" i="3"/>
  <c r="I4" i="3"/>
  <c r="I8" i="3"/>
  <c r="I7" i="3"/>
  <c r="I6" i="3"/>
  <c r="I14" i="3"/>
  <c r="F37" i="4" l="1"/>
  <c r="F34" i="4"/>
  <c r="F33" i="4"/>
  <c r="F35" i="4"/>
  <c r="F9" i="4"/>
  <c r="E10" i="4"/>
  <c r="G9" i="4"/>
  <c r="I15" i="3"/>
  <c r="G19" i="3" s="1"/>
  <c r="G5" i="4" l="1"/>
  <c r="G10" i="4"/>
  <c r="G6" i="4"/>
  <c r="G7" i="4"/>
  <c r="G8" i="4"/>
  <c r="F10" i="4"/>
  <c r="H9" i="4"/>
  <c r="H10" i="4" l="1"/>
  <c r="H5" i="4"/>
  <c r="H6" i="4"/>
  <c r="H7" i="4"/>
  <c r="H8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AD88FE-D6EB-44A2-8CAB-2CA16F135489}" keepAlive="1" name="Query - Table001 (Page 1)" description="Connection to the 'Table001 (Page 1)' query in the workbook." type="5" refreshedVersion="0" background="1">
    <dbPr connection="Provider=Microsoft.Mashup.OleDb.1;Data Source=$Workbook$;Location=&quot;Table001 (Page 1)&quot;;Extended Properties=&quot;&quot;" command="SELECT * FROM [Table001 (Page 1)]"/>
  </connection>
</connections>
</file>

<file path=xl/sharedStrings.xml><?xml version="1.0" encoding="utf-8"?>
<sst xmlns="http://schemas.openxmlformats.org/spreadsheetml/2006/main" count="95" uniqueCount="90">
  <si>
    <t>Income Class (taka)</t>
  </si>
  <si>
    <t>Percentage of household</t>
  </si>
  <si>
    <t>Under 500</t>
  </si>
  <si>
    <t>500-999</t>
  </si>
  <si>
    <t>1000-1999</t>
  </si>
  <si>
    <t>2000-2999</t>
  </si>
  <si>
    <t>3000-3999</t>
  </si>
  <si>
    <t>4000-4999</t>
  </si>
  <si>
    <t>5000-5999</t>
  </si>
  <si>
    <t>6000-7999</t>
  </si>
  <si>
    <t>8000-9999</t>
  </si>
  <si>
    <t>10000-14999</t>
  </si>
  <si>
    <t>15000-24999</t>
  </si>
  <si>
    <t>25000 or over</t>
  </si>
  <si>
    <t>Income (X)</t>
  </si>
  <si>
    <t>% of households having income &gt;=X (Y)</t>
  </si>
  <si>
    <t>log X</t>
  </si>
  <si>
    <t>log Y</t>
  </si>
  <si>
    <t>A hat</t>
  </si>
  <si>
    <t>b0 hat</t>
  </si>
  <si>
    <t>b1 hat</t>
  </si>
  <si>
    <t>gama hat</t>
  </si>
  <si>
    <t>rho hat</t>
  </si>
  <si>
    <t>LL</t>
  </si>
  <si>
    <t>UL</t>
  </si>
  <si>
    <t>freq (fi)</t>
  </si>
  <si>
    <t>Mid value</t>
  </si>
  <si>
    <t>-</t>
  </si>
  <si>
    <t>Mid value (Xi)</t>
  </si>
  <si>
    <t>fixi</t>
  </si>
  <si>
    <t>X bar</t>
  </si>
  <si>
    <t>N</t>
  </si>
  <si>
    <t>S^2 bar</t>
  </si>
  <si>
    <t>fiXi^2</t>
  </si>
  <si>
    <t>In of class upper boundary (yi)</t>
  </si>
  <si>
    <t>zi</t>
  </si>
  <si>
    <t>phi (z)</t>
  </si>
  <si>
    <t>d phi(z)</t>
  </si>
  <si>
    <t>Ei</t>
  </si>
  <si>
    <t>Total</t>
  </si>
  <si>
    <t>fi(Xi-Xbar)^2</t>
  </si>
  <si>
    <t>mu hat</t>
  </si>
  <si>
    <t>S^2 + Xbar ^2</t>
  </si>
  <si>
    <t>sigma hat</t>
  </si>
  <si>
    <t>sigma^2 hat</t>
  </si>
  <si>
    <t>Chi</t>
  </si>
  <si>
    <t>CHI SQ</t>
  </si>
  <si>
    <t>Tab</t>
  </si>
  <si>
    <t>Income</t>
  </si>
  <si>
    <t>Number of Persons</t>
  </si>
  <si>
    <t>Daily Income</t>
  </si>
  <si>
    <t>Cumilative mid value</t>
  </si>
  <si>
    <t>0−100</t>
  </si>
  <si>
    <t>100−200</t>
  </si>
  <si>
    <t>200−300</t>
  </si>
  <si>
    <t>300−400</t>
  </si>
  <si>
    <t>400−500</t>
  </si>
  <si>
    <t>Cumilative mid %</t>
  </si>
  <si>
    <t>Cumilative Frequency A</t>
  </si>
  <si>
    <t>Cumilative Frequency A (%)</t>
  </si>
  <si>
    <t>No of workers B</t>
  </si>
  <si>
    <t>No of workers A</t>
  </si>
  <si>
    <t>Cumilative Frequency B</t>
  </si>
  <si>
    <t>Cumilative Frequency B (%)</t>
  </si>
  <si>
    <t>Cumulative Population</t>
  </si>
  <si>
    <t>Cumulative Income</t>
  </si>
  <si>
    <t>Cumulative Persons</t>
  </si>
  <si>
    <t>Cumulative Income (%)</t>
  </si>
  <si>
    <t>Cumulative Persons (%)</t>
  </si>
  <si>
    <t>Area Under Curve</t>
  </si>
  <si>
    <t>A+B</t>
  </si>
  <si>
    <t>A</t>
  </si>
  <si>
    <t xml:space="preserve">Gini </t>
  </si>
  <si>
    <t>ni</t>
  </si>
  <si>
    <t>Efi</t>
  </si>
  <si>
    <t>E0i</t>
  </si>
  <si>
    <t>Sums</t>
  </si>
  <si>
    <t>niXi</t>
  </si>
  <si>
    <t>Xi = ln (E0i)</t>
  </si>
  <si>
    <t>Yi = ln(Efi)</t>
  </si>
  <si>
    <t>niYi</t>
  </si>
  <si>
    <t>Xi</t>
  </si>
  <si>
    <t>Yi</t>
  </si>
  <si>
    <t>niXi^2</t>
  </si>
  <si>
    <t>niXiYi</t>
  </si>
  <si>
    <t>beta</t>
  </si>
  <si>
    <t>alpha</t>
  </si>
  <si>
    <t>Var (b)</t>
  </si>
  <si>
    <t>SE b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</si>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</sst>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1" fillId="0" borderId="0" xfId="0" applyFont="1" applyBorder="1" applyAlignment="1">
      <alignment wrapText="1"/>
    </xf>
    <xf numFmtId="0" fontId="0" fillId="0" borderId="0" xfId="0" applyBorder="1"/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right" wrapText="1"/>
    </xf>
    <xf numFmtId="0" fontId="1" fillId="0" borderId="0" xfId="0" applyFont="1" applyBorder="1" applyAlignment="1">
      <alignment horizontal="right" wrapText="1"/>
    </xf>
    <xf numFmtId="0" fontId="1" fillId="0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Curve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'Problem 03'!$H$5:$H$10</c:f>
              <c:numCache>
                <c:formatCode>General</c:formatCode>
                <c:ptCount val="6"/>
                <c:pt idx="0">
                  <c:v>0</c:v>
                </c:pt>
                <c:pt idx="1">
                  <c:v>32</c:v>
                </c:pt>
                <c:pt idx="2">
                  <c:v>60</c:v>
                </c:pt>
                <c:pt idx="3">
                  <c:v>80</c:v>
                </c:pt>
                <c:pt idx="4">
                  <c:v>92</c:v>
                </c:pt>
                <c:pt idx="5">
                  <c:v>100</c:v>
                </c:pt>
              </c:numCache>
            </c:numRef>
          </c:xVal>
          <c:yVal>
            <c:numRef>
              <c:f>'Problem 03'!$G$5:$G$10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15</c:v>
                </c:pt>
                <c:pt idx="3">
                  <c:v>35</c:v>
                </c:pt>
                <c:pt idx="4">
                  <c:v>60</c:v>
                </c:pt>
                <c:pt idx="5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2A-4301-8CD0-85C8D9159BA0}"/>
            </c:ext>
          </c:extLst>
        </c:ser>
        <c:ser>
          <c:idx val="1"/>
          <c:order val="1"/>
          <c:tx>
            <c:v>Standard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'Problem 03'!$H$5:$H$10</c:f>
              <c:numCache>
                <c:formatCode>General</c:formatCode>
                <c:ptCount val="6"/>
                <c:pt idx="0">
                  <c:v>0</c:v>
                </c:pt>
                <c:pt idx="1">
                  <c:v>32</c:v>
                </c:pt>
                <c:pt idx="2">
                  <c:v>60</c:v>
                </c:pt>
                <c:pt idx="3">
                  <c:v>80</c:v>
                </c:pt>
                <c:pt idx="4">
                  <c:v>92</c:v>
                </c:pt>
                <c:pt idx="5">
                  <c:v>100</c:v>
                </c:pt>
              </c:numCache>
            </c:numRef>
          </c:xVal>
          <c:yVal>
            <c:numRef>
              <c:f>'Problem 03'!$H$5:$H$10</c:f>
              <c:numCache>
                <c:formatCode>General</c:formatCode>
                <c:ptCount val="6"/>
                <c:pt idx="0">
                  <c:v>0</c:v>
                </c:pt>
                <c:pt idx="1">
                  <c:v>32</c:v>
                </c:pt>
                <c:pt idx="2">
                  <c:v>60</c:v>
                </c:pt>
                <c:pt idx="3">
                  <c:v>80</c:v>
                </c:pt>
                <c:pt idx="4">
                  <c:v>92</c:v>
                </c:pt>
                <c:pt idx="5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22A-4301-8CD0-85C8D9159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3675647"/>
        <c:axId val="803677311"/>
      </c:scatterChart>
      <c:valAx>
        <c:axId val="80367564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677311"/>
        <c:crosses val="autoZero"/>
        <c:crossBetween val="midCat"/>
      </c:valAx>
      <c:valAx>
        <c:axId val="80367731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675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Fact 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'Problem 03'!$I$32:$I$37</c:f>
              <c:numCache>
                <c:formatCode>General</c:formatCode>
                <c:ptCount val="6"/>
                <c:pt idx="0">
                  <c:v>0</c:v>
                </c:pt>
                <c:pt idx="1">
                  <c:v>32</c:v>
                </c:pt>
                <c:pt idx="2">
                  <c:v>60</c:v>
                </c:pt>
                <c:pt idx="3">
                  <c:v>80</c:v>
                </c:pt>
                <c:pt idx="4">
                  <c:v>92</c:v>
                </c:pt>
                <c:pt idx="5">
                  <c:v>100</c:v>
                </c:pt>
              </c:numCache>
            </c:numRef>
          </c:xVal>
          <c:yVal>
            <c:numRef>
              <c:f>'Problem 03'!$F$32:$F$37</c:f>
              <c:numCache>
                <c:formatCode>General</c:formatCode>
                <c:ptCount val="6"/>
                <c:pt idx="0">
                  <c:v>0</c:v>
                </c:pt>
                <c:pt idx="1">
                  <c:v>4</c:v>
                </c:pt>
                <c:pt idx="2">
                  <c:v>16</c:v>
                </c:pt>
                <c:pt idx="3">
                  <c:v>36</c:v>
                </c:pt>
                <c:pt idx="4">
                  <c:v>64</c:v>
                </c:pt>
                <c:pt idx="5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6E-41F3-97E1-93656CCBA2AA}"/>
            </c:ext>
          </c:extLst>
        </c:ser>
        <c:ser>
          <c:idx val="1"/>
          <c:order val="1"/>
          <c:tx>
            <c:v>Fact 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'Problem 03'!$L$32:$L$37</c:f>
              <c:numCache>
                <c:formatCode>General</c:formatCode>
                <c:ptCount val="6"/>
                <c:pt idx="0">
                  <c:v>0</c:v>
                </c:pt>
                <c:pt idx="1">
                  <c:v>60</c:v>
                </c:pt>
                <c:pt idx="2">
                  <c:v>84</c:v>
                </c:pt>
                <c:pt idx="3">
                  <c:v>92</c:v>
                </c:pt>
                <c:pt idx="4">
                  <c:v>96</c:v>
                </c:pt>
                <c:pt idx="5">
                  <c:v>100</c:v>
                </c:pt>
              </c:numCache>
            </c:numRef>
          </c:xVal>
          <c:yVal>
            <c:numRef>
              <c:f>'Problem 03'!$F$32:$F$37</c:f>
              <c:numCache>
                <c:formatCode>General</c:formatCode>
                <c:ptCount val="6"/>
                <c:pt idx="0">
                  <c:v>0</c:v>
                </c:pt>
                <c:pt idx="1">
                  <c:v>4</c:v>
                </c:pt>
                <c:pt idx="2">
                  <c:v>16</c:v>
                </c:pt>
                <c:pt idx="3">
                  <c:v>36</c:v>
                </c:pt>
                <c:pt idx="4">
                  <c:v>64</c:v>
                </c:pt>
                <c:pt idx="5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56E-41F3-97E1-93656CCBA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7296719"/>
        <c:axId val="1077298383"/>
      </c:scatterChart>
      <c:valAx>
        <c:axId val="1077296719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298383"/>
        <c:crosses val="autoZero"/>
        <c:crossBetween val="midCat"/>
      </c:valAx>
      <c:valAx>
        <c:axId val="107729838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296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Standard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'Problem 03'!$D$60:$D$70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'Problem 03'!$D$60:$D$70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2A-4E33-92EF-3DA09F78FD27}"/>
            </c:ext>
          </c:extLst>
        </c:ser>
        <c:ser>
          <c:idx val="1"/>
          <c:order val="1"/>
          <c:tx>
            <c:v>Gini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'Problem 03'!$D$60:$D$70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'Problem 03'!$E$60:$E$70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25</c:v>
                </c:pt>
                <c:pt idx="6">
                  <c:v>35</c:v>
                </c:pt>
                <c:pt idx="7">
                  <c:v>45</c:v>
                </c:pt>
                <c:pt idx="8">
                  <c:v>55</c:v>
                </c:pt>
                <c:pt idx="9">
                  <c:v>75</c:v>
                </c:pt>
                <c:pt idx="1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B2A-4E33-92EF-3DA09F78F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7335823"/>
        <c:axId val="1077336239"/>
      </c:scatterChart>
      <c:valAx>
        <c:axId val="1077335823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336239"/>
        <c:crosses val="autoZero"/>
        <c:crossBetween val="midCat"/>
      </c:valAx>
      <c:valAx>
        <c:axId val="1077336239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335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1238250</xdr:colOff>
      <xdr:row>11</xdr:row>
      <xdr:rowOff>128587</xdr:rowOff>
    </xdr:from>
    <xdr:to>
      <xdr:col>7</xdr:col>
      <xdr:colOff>1381125</xdr:colOff>
      <xdr:row>26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E7471-534B-44FE-8E2C-15CFB779A5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1409700</xdr:colOff>
      <xdr:row>39</xdr:row>
      <xdr:rowOff>100012</xdr:rowOff>
    </xdr:from>
    <xdr:to>
      <xdr:col>8</xdr:col>
      <xdr:colOff>57150</xdr:colOff>
      <xdr:row>53</xdr:row>
      <xdr:rowOff>176212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F079C0-6B87-4270-B242-2E4A171F46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452437</xdr:colOff>
      <xdr:row>71</xdr:row>
      <xdr:rowOff>42862</xdr:rowOff>
    </xdr:from>
    <xdr:to>
      <xdr:col>6</xdr:col>
      <xdr:colOff>233362</xdr:colOff>
      <xdr:row>85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3201A9-82C2-48D3-AE68-E6FFB5D500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200025</xdr:colOff>
      <xdr:row>1</xdr:row>
      <xdr:rowOff>19050</xdr:rowOff>
    </xdr:from>
    <xdr:to>
      <xdr:col>20</xdr:col>
      <xdr:colOff>19705</xdr:colOff>
      <xdr:row>16</xdr:row>
      <xdr:rowOff>171870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F39061-7692-477D-954C-650FA62F5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05725" y="209550"/>
          <a:ext cx="4696480" cy="3010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A8A9B-482F-4A33-B527-A95121040D4E}">
  <dimension ref="C3:K24"/>
  <sheetViews>
    <sheetView workbookViewId="0">
      <selection activeCell="I25" sqref="I25"/>
    </sheetView>
  </sheetViews>
  <sheetFormatPr defaultRowHeight="15" x14ac:dyDescent="0.25"/>
  <cols>
    <col min="3" max="3" width="18.28515625" bestFit="1" customWidth="1"/>
    <col min="4" max="4" width="23.5703125" bestFit="1" customWidth="1"/>
    <col min="8" max="8" width="10.5703125" bestFit="1" customWidth="1"/>
    <col min="9" max="9" width="36" bestFit="1" customWidth="1"/>
  </cols>
  <sheetData>
    <row r="3" spans="3:11" x14ac:dyDescent="0.25">
      <c r="C3" t="s">
        <v>0</v>
      </c>
      <c r="D3" t="s">
        <v>1</v>
      </c>
    </row>
    <row r="4" spans="3:11" x14ac:dyDescent="0.25">
      <c r="C4" t="s">
        <v>2</v>
      </c>
      <c r="D4">
        <v>13.6</v>
      </c>
      <c r="H4" t="s">
        <v>14</v>
      </c>
      <c r="I4" t="s">
        <v>15</v>
      </c>
      <c r="J4" t="s">
        <v>16</v>
      </c>
      <c r="K4" t="s">
        <v>17</v>
      </c>
    </row>
    <row r="5" spans="3:11" x14ac:dyDescent="0.25">
      <c r="C5" t="s">
        <v>3</v>
      </c>
      <c r="D5">
        <v>28.9</v>
      </c>
      <c r="H5">
        <v>100</v>
      </c>
      <c r="I5">
        <f>SUM(D4:D15)</f>
        <v>99.999999999999986</v>
      </c>
      <c r="J5">
        <f>LOG(H5)</f>
        <v>2</v>
      </c>
      <c r="K5">
        <f>LOG(I5)</f>
        <v>2</v>
      </c>
    </row>
    <row r="6" spans="3:11" x14ac:dyDescent="0.25">
      <c r="C6" t="s">
        <v>4</v>
      </c>
      <c r="D6">
        <v>32.5</v>
      </c>
      <c r="H6">
        <v>500</v>
      </c>
      <c r="I6">
        <f>I5-D4</f>
        <v>86.399999999999991</v>
      </c>
      <c r="J6">
        <f t="shared" ref="J6:J16" si="0">LOG(H6)</f>
        <v>2.6989700043360187</v>
      </c>
      <c r="K6">
        <f t="shared" ref="K6:K16" si="1">LOG(I6)</f>
        <v>1.9365137424788932</v>
      </c>
    </row>
    <row r="7" spans="3:11" x14ac:dyDescent="0.25">
      <c r="C7" t="s">
        <v>5</v>
      </c>
      <c r="D7">
        <v>10.6</v>
      </c>
      <c r="H7">
        <v>1000</v>
      </c>
      <c r="I7">
        <f t="shared" ref="I7:I16" si="2">I6-D5</f>
        <v>57.499999999999993</v>
      </c>
      <c r="J7">
        <f t="shared" si="0"/>
        <v>3</v>
      </c>
      <c r="K7">
        <f t="shared" si="1"/>
        <v>1.7596678446896303</v>
      </c>
    </row>
    <row r="8" spans="3:11" x14ac:dyDescent="0.25">
      <c r="C8" t="s">
        <v>6</v>
      </c>
      <c r="D8">
        <v>5.6</v>
      </c>
      <c r="H8">
        <v>2000</v>
      </c>
      <c r="I8">
        <f t="shared" si="2"/>
        <v>24.999999999999993</v>
      </c>
      <c r="J8">
        <f t="shared" si="0"/>
        <v>3.3010299956639813</v>
      </c>
      <c r="K8">
        <f t="shared" si="1"/>
        <v>1.3979400086720375</v>
      </c>
    </row>
    <row r="9" spans="3:11" x14ac:dyDescent="0.25">
      <c r="C9" t="s">
        <v>7</v>
      </c>
      <c r="D9">
        <v>3.1</v>
      </c>
      <c r="H9">
        <v>3000</v>
      </c>
      <c r="I9">
        <f t="shared" si="2"/>
        <v>14.399999999999993</v>
      </c>
      <c r="J9">
        <f t="shared" si="0"/>
        <v>3.4771212547196626</v>
      </c>
      <c r="K9">
        <f t="shared" si="1"/>
        <v>1.1583624920952496</v>
      </c>
    </row>
    <row r="10" spans="3:11" x14ac:dyDescent="0.25">
      <c r="C10" t="s">
        <v>8</v>
      </c>
      <c r="D10">
        <v>1.7</v>
      </c>
      <c r="H10">
        <v>4000</v>
      </c>
      <c r="I10">
        <f t="shared" si="2"/>
        <v>8.7999999999999936</v>
      </c>
      <c r="J10">
        <f t="shared" si="0"/>
        <v>3.6020599913279625</v>
      </c>
      <c r="K10">
        <f t="shared" si="1"/>
        <v>0.94448267215016835</v>
      </c>
    </row>
    <row r="11" spans="3:11" x14ac:dyDescent="0.25">
      <c r="C11" t="s">
        <v>9</v>
      </c>
      <c r="D11">
        <v>1.7</v>
      </c>
      <c r="H11">
        <v>5000</v>
      </c>
      <c r="I11">
        <f t="shared" si="2"/>
        <v>5.699999999999994</v>
      </c>
      <c r="J11">
        <f t="shared" si="0"/>
        <v>3.6989700043360187</v>
      </c>
      <c r="K11">
        <f t="shared" si="1"/>
        <v>0.75587485567249091</v>
      </c>
    </row>
    <row r="12" spans="3:11" x14ac:dyDescent="0.25">
      <c r="C12" t="s">
        <v>10</v>
      </c>
      <c r="D12">
        <v>0.7</v>
      </c>
      <c r="H12">
        <v>6000</v>
      </c>
      <c r="I12">
        <f t="shared" si="2"/>
        <v>3.9999999999999938</v>
      </c>
      <c r="J12">
        <f t="shared" si="0"/>
        <v>3.7781512503836434</v>
      </c>
      <c r="K12">
        <f t="shared" si="1"/>
        <v>0.60205999132796173</v>
      </c>
    </row>
    <row r="13" spans="3:11" x14ac:dyDescent="0.25">
      <c r="C13" t="s">
        <v>11</v>
      </c>
      <c r="D13">
        <v>0.8</v>
      </c>
      <c r="H13">
        <v>8000</v>
      </c>
      <c r="I13">
        <f t="shared" si="2"/>
        <v>2.2999999999999936</v>
      </c>
      <c r="J13">
        <f t="shared" si="0"/>
        <v>3.9030899869919438</v>
      </c>
      <c r="K13">
        <f t="shared" si="1"/>
        <v>0.36172783601759168</v>
      </c>
    </row>
    <row r="14" spans="3:11" x14ac:dyDescent="0.25">
      <c r="C14" t="s">
        <v>12</v>
      </c>
      <c r="D14">
        <v>0.5</v>
      </c>
      <c r="H14">
        <v>10000</v>
      </c>
      <c r="I14">
        <f t="shared" si="2"/>
        <v>1.5999999999999936</v>
      </c>
      <c r="J14">
        <f t="shared" si="0"/>
        <v>4</v>
      </c>
      <c r="K14">
        <f t="shared" si="1"/>
        <v>0.20411998265592304</v>
      </c>
    </row>
    <row r="15" spans="3:11" x14ac:dyDescent="0.25">
      <c r="C15" t="s">
        <v>13</v>
      </c>
      <c r="D15">
        <v>0.3</v>
      </c>
      <c r="H15">
        <v>15000</v>
      </c>
      <c r="I15">
        <f t="shared" si="2"/>
        <v>0.79999999999999361</v>
      </c>
      <c r="J15">
        <f t="shared" si="0"/>
        <v>4.1760912590556813</v>
      </c>
      <c r="K15">
        <f t="shared" si="1"/>
        <v>-9.6910013008059889E-2</v>
      </c>
    </row>
    <row r="16" spans="3:11" x14ac:dyDescent="0.25">
      <c r="H16">
        <v>25000</v>
      </c>
      <c r="I16">
        <f t="shared" si="2"/>
        <v>0.29999999999999361</v>
      </c>
      <c r="J16">
        <f t="shared" si="0"/>
        <v>4.3979400086720375</v>
      </c>
      <c r="K16">
        <f>LOG(I16)</f>
        <v>-0.52287874528034683</v>
      </c>
    </row>
    <row r="20" spans="8:9" x14ac:dyDescent="0.25">
      <c r="H20" t="s">
        <v>19</v>
      </c>
      <c r="I20">
        <f>AVERAGE(K5:K16)-I21*AVERAGE(J5:J16)</f>
        <v>4.8366637466843834</v>
      </c>
    </row>
    <row r="21" spans="8:9" x14ac:dyDescent="0.25">
      <c r="H21" t="s">
        <v>20</v>
      </c>
      <c r="I21">
        <f>_xlfn.COVARIANCE.P(J5:J16, K5:K16)/_xlfn.VAR.P(J5:J16)</f>
        <v>-1.1309810157097999</v>
      </c>
    </row>
    <row r="22" spans="8:9" x14ac:dyDescent="0.25">
      <c r="H22" t="s">
        <v>18</v>
      </c>
      <c r="I22">
        <f>10^I20</f>
        <v>68653.668187228628</v>
      </c>
    </row>
    <row r="23" spans="8:9" x14ac:dyDescent="0.25">
      <c r="H23" t="s">
        <v>21</v>
      </c>
      <c r="I23">
        <f>-I21</f>
        <v>1.1309810157097999</v>
      </c>
    </row>
    <row r="24" spans="8:9" x14ac:dyDescent="0.25">
      <c r="H24" t="s">
        <v>22</v>
      </c>
      <c r="I24">
        <f>1/(2*I23-1)</f>
        <v>0.79241686762563301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E2A21-5BEF-4D9D-8B33-62D2C597D97D}">
  <dimension ref="C2:O23"/>
  <sheetViews>
    <sheetView topLeftCell="B1" zoomScale="115" zoomScaleNormal="115" workbookViewId="0">
      <selection activeCell="N18" sqref="N18"/>
    </sheetView>
  </sheetViews>
  <sheetFormatPr defaultRowHeight="15" x14ac:dyDescent="0.25"/>
  <cols>
    <col min="5" max="5" width="13.42578125" customWidth="1"/>
    <col min="10" max="10" width="28.140625" bestFit="1" customWidth="1"/>
  </cols>
  <sheetData>
    <row r="2" spans="3:15" ht="30" x14ac:dyDescent="0.25">
      <c r="C2" s="3" t="s">
        <v>23</v>
      </c>
      <c r="D2" s="3" t="s">
        <v>24</v>
      </c>
      <c r="E2" s="4" t="s">
        <v>28</v>
      </c>
      <c r="F2" s="3" t="s">
        <v>25</v>
      </c>
      <c r="G2" s="8" t="s">
        <v>29</v>
      </c>
      <c r="H2" s="8" t="s">
        <v>33</v>
      </c>
      <c r="I2" s="8" t="s">
        <v>40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45</v>
      </c>
    </row>
    <row r="3" spans="3:15" x14ac:dyDescent="0.25">
      <c r="C3" s="5"/>
      <c r="D3" s="6">
        <v>9</v>
      </c>
      <c r="E3" s="4" t="s">
        <v>27</v>
      </c>
      <c r="F3" s="5" t="s">
        <v>27</v>
      </c>
      <c r="G3" t="s">
        <v>27</v>
      </c>
      <c r="H3" t="s">
        <v>27</v>
      </c>
      <c r="J3">
        <f>LN(D3+0.5)</f>
        <v>2.2512917986064953</v>
      </c>
      <c r="K3">
        <f>(J3-$F$21)/$F$23</f>
        <v>-3.2244343006250129</v>
      </c>
      <c r="L3">
        <f>_xlfn.NORM.DIST(K3, 0, 1, 1)</f>
        <v>6.3110907690826896E-4</v>
      </c>
    </row>
    <row r="4" spans="3:15" x14ac:dyDescent="0.25">
      <c r="C4" s="7">
        <v>10</v>
      </c>
      <c r="D4" s="7">
        <v>14</v>
      </c>
      <c r="E4" s="4">
        <f>(C4+D4)/2</f>
        <v>12</v>
      </c>
      <c r="F4" s="7">
        <v>3.3</v>
      </c>
      <c r="G4">
        <f>F4*E4</f>
        <v>39.599999999999994</v>
      </c>
      <c r="H4">
        <f>F4*E4*E4</f>
        <v>475.19999999999993</v>
      </c>
      <c r="I4">
        <f>F4*(E4-$F$18)^2</f>
        <v>1653.665013825</v>
      </c>
      <c r="J4">
        <f t="shared" ref="J4:J14" si="0">LN(D4+0.5)</f>
        <v>2.6741486494265287</v>
      </c>
      <c r="K4">
        <f t="shared" ref="K4:K14" si="1">(J4-$F$21)/$F$23</f>
        <v>-2.1025228730238923</v>
      </c>
      <c r="L4">
        <f t="shared" ref="L4:L14" si="2">_xlfn.NORM.DIST(K4, 0, 1, 1)</f>
        <v>1.7753749082050244E-2</v>
      </c>
      <c r="M4">
        <f>L4-L3</f>
        <v>1.7122640005141975E-2</v>
      </c>
      <c r="N4">
        <f>$F$17*M4</f>
        <v>1.7122640005141976</v>
      </c>
      <c r="O4">
        <f>(F4-N4)^2/N4</f>
        <v>1.4722645592654782</v>
      </c>
    </row>
    <row r="5" spans="3:15" x14ac:dyDescent="0.25">
      <c r="C5" s="7">
        <v>15</v>
      </c>
      <c r="D5" s="7">
        <v>19</v>
      </c>
      <c r="E5" s="4">
        <f t="shared" ref="E5:E14" si="3">(C5+D5)/2</f>
        <v>17</v>
      </c>
      <c r="F5" s="7">
        <v>9.39</v>
      </c>
      <c r="G5">
        <f t="shared" ref="G5:G14" si="4">F5*E5</f>
        <v>159.63</v>
      </c>
      <c r="H5">
        <f t="shared" ref="H5:H14" si="5">F5*E5*E5</f>
        <v>2713.71</v>
      </c>
      <c r="I5">
        <f t="shared" ref="I5:I14" si="6">F5*(E5-$F$18)^2</f>
        <v>2838.1801802475002</v>
      </c>
      <c r="J5">
        <f t="shared" si="0"/>
        <v>2.9704144655697009</v>
      </c>
      <c r="K5">
        <f t="shared" si="1"/>
        <v>-1.3164790757104154</v>
      </c>
      <c r="L5">
        <f t="shared" si="2"/>
        <v>9.400664845044622E-2</v>
      </c>
      <c r="M5">
        <f t="shared" ref="M5:M14" si="7">L5-L4</f>
        <v>7.6252899368395979E-2</v>
      </c>
      <c r="N5">
        <f t="shared" ref="N5:N14" si="8">$F$17*M5</f>
        <v>7.6252899368395983</v>
      </c>
      <c r="O5">
        <f t="shared" ref="O5:O14" si="9">(F5-N5)^2/N5</f>
        <v>0.40840435351502358</v>
      </c>
    </row>
    <row r="6" spans="3:15" x14ac:dyDescent="0.25">
      <c r="C6" s="7">
        <v>20</v>
      </c>
      <c r="D6" s="7">
        <v>24</v>
      </c>
      <c r="E6" s="4">
        <f t="shared" si="3"/>
        <v>22</v>
      </c>
      <c r="F6" s="7">
        <v>13.08</v>
      </c>
      <c r="G6">
        <f t="shared" si="4"/>
        <v>287.76</v>
      </c>
      <c r="H6">
        <f t="shared" si="5"/>
        <v>6330.7199999999993</v>
      </c>
      <c r="I6">
        <f t="shared" si="6"/>
        <v>2006.47998207</v>
      </c>
      <c r="J6">
        <f t="shared" si="0"/>
        <v>3.1986731175506815</v>
      </c>
      <c r="K6">
        <f t="shared" si="1"/>
        <v>-0.71086989707308346</v>
      </c>
      <c r="L6">
        <f t="shared" si="2"/>
        <v>0.23858243086591838</v>
      </c>
      <c r="M6">
        <f t="shared" si="7"/>
        <v>0.14457578241547214</v>
      </c>
      <c r="N6">
        <f t="shared" si="8"/>
        <v>14.457578241547214</v>
      </c>
      <c r="O6">
        <f t="shared" si="9"/>
        <v>0.13126138969324538</v>
      </c>
    </row>
    <row r="7" spans="3:15" x14ac:dyDescent="0.25">
      <c r="C7" s="7">
        <v>25</v>
      </c>
      <c r="D7" s="7">
        <v>29</v>
      </c>
      <c r="E7" s="4">
        <f t="shared" si="3"/>
        <v>27</v>
      </c>
      <c r="F7" s="7">
        <v>16.41</v>
      </c>
      <c r="G7">
        <f t="shared" si="4"/>
        <v>443.07</v>
      </c>
      <c r="H7">
        <f t="shared" si="5"/>
        <v>11962.89</v>
      </c>
      <c r="I7">
        <f t="shared" si="6"/>
        <v>895.09346420250006</v>
      </c>
      <c r="J7">
        <f t="shared" si="0"/>
        <v>3.3843902633457743</v>
      </c>
      <c r="K7">
        <f t="shared" si="1"/>
        <v>-0.2181305982656612</v>
      </c>
      <c r="L7">
        <f t="shared" si="2"/>
        <v>0.41366367870214205</v>
      </c>
      <c r="M7">
        <f t="shared" si="7"/>
        <v>0.17508124783622367</v>
      </c>
      <c r="N7">
        <f t="shared" si="8"/>
        <v>17.508124783622367</v>
      </c>
      <c r="O7">
        <f t="shared" si="9"/>
        <v>6.8875339609967029E-2</v>
      </c>
    </row>
    <row r="8" spans="3:15" x14ac:dyDescent="0.25">
      <c r="C8" s="7">
        <v>30</v>
      </c>
      <c r="D8" s="7">
        <v>34</v>
      </c>
      <c r="E8" s="4">
        <f t="shared" si="3"/>
        <v>32</v>
      </c>
      <c r="F8" s="7">
        <v>13.87</v>
      </c>
      <c r="G8">
        <f t="shared" si="4"/>
        <v>443.84</v>
      </c>
      <c r="H8">
        <f t="shared" si="5"/>
        <v>14202.88</v>
      </c>
      <c r="I8">
        <f t="shared" si="6"/>
        <v>78.92876416750002</v>
      </c>
      <c r="J8">
        <f t="shared" si="0"/>
        <v>3.5409593240373143</v>
      </c>
      <c r="K8">
        <f t="shared" si="1"/>
        <v>0.197273853756262</v>
      </c>
      <c r="L8">
        <f t="shared" si="2"/>
        <v>0.5781933805179621</v>
      </c>
      <c r="M8">
        <f t="shared" si="7"/>
        <v>0.16452970181582005</v>
      </c>
      <c r="N8">
        <f t="shared" si="8"/>
        <v>16.452970181582003</v>
      </c>
      <c r="O8">
        <f t="shared" si="9"/>
        <v>0.40550337630893729</v>
      </c>
    </row>
    <row r="9" spans="3:15" x14ac:dyDescent="0.25">
      <c r="C9" s="7">
        <v>35</v>
      </c>
      <c r="D9" s="7">
        <v>39</v>
      </c>
      <c r="E9" s="4">
        <f t="shared" si="3"/>
        <v>37</v>
      </c>
      <c r="F9" s="7">
        <v>11.89</v>
      </c>
      <c r="G9">
        <f t="shared" si="4"/>
        <v>439.93</v>
      </c>
      <c r="H9">
        <f t="shared" si="5"/>
        <v>16277.41</v>
      </c>
      <c r="I9">
        <f t="shared" si="6"/>
        <v>81.275405872499974</v>
      </c>
      <c r="J9">
        <f t="shared" si="0"/>
        <v>3.6763006719070761</v>
      </c>
      <c r="K9">
        <f t="shared" si="1"/>
        <v>0.55635755905171536</v>
      </c>
      <c r="L9">
        <f t="shared" si="2"/>
        <v>0.71101677695527699</v>
      </c>
      <c r="M9">
        <f t="shared" si="7"/>
        <v>0.13282339643731489</v>
      </c>
      <c r="N9">
        <f t="shared" si="8"/>
        <v>13.28233964373149</v>
      </c>
      <c r="O9">
        <f t="shared" si="9"/>
        <v>0.14595393097188597</v>
      </c>
    </row>
    <row r="10" spans="3:15" x14ac:dyDescent="0.25">
      <c r="C10" s="7">
        <v>40</v>
      </c>
      <c r="D10" s="7">
        <v>44</v>
      </c>
      <c r="E10" s="4">
        <f t="shared" si="3"/>
        <v>42</v>
      </c>
      <c r="F10" s="7">
        <v>9.3000000000000007</v>
      </c>
      <c r="G10">
        <f t="shared" si="4"/>
        <v>390.6</v>
      </c>
      <c r="H10">
        <f t="shared" si="5"/>
        <v>16405.2</v>
      </c>
      <c r="I10">
        <f t="shared" si="6"/>
        <v>539.21967532499991</v>
      </c>
      <c r="J10">
        <f t="shared" si="0"/>
        <v>3.7954891891721947</v>
      </c>
      <c r="K10">
        <f t="shared" si="1"/>
        <v>0.87258504667371528</v>
      </c>
      <c r="L10">
        <f t="shared" si="2"/>
        <v>0.80855535302637249</v>
      </c>
      <c r="M10">
        <f t="shared" si="7"/>
        <v>9.7538576071095506E-2</v>
      </c>
      <c r="N10">
        <f t="shared" si="8"/>
        <v>9.7538576071095502</v>
      </c>
      <c r="O10">
        <f t="shared" si="9"/>
        <v>2.1118488276993426E-2</v>
      </c>
    </row>
    <row r="11" spans="3:15" x14ac:dyDescent="0.25">
      <c r="C11" s="7">
        <v>45</v>
      </c>
      <c r="D11" s="7">
        <v>49</v>
      </c>
      <c r="E11" s="4">
        <f t="shared" si="3"/>
        <v>47</v>
      </c>
      <c r="F11" s="7">
        <v>6.79</v>
      </c>
      <c r="G11">
        <f t="shared" si="4"/>
        <v>319.13</v>
      </c>
      <c r="H11">
        <f t="shared" si="5"/>
        <v>14999.11</v>
      </c>
      <c r="I11">
        <f t="shared" si="6"/>
        <v>1080.4628935974999</v>
      </c>
      <c r="J11">
        <f t="shared" si="0"/>
        <v>3.9019726695746448</v>
      </c>
      <c r="K11">
        <f t="shared" si="1"/>
        <v>1.1551039021269824</v>
      </c>
      <c r="L11">
        <f t="shared" si="2"/>
        <v>0.87597605975949688</v>
      </c>
      <c r="M11">
        <f t="shared" si="7"/>
        <v>6.7420706733124391E-2</v>
      </c>
      <c r="N11">
        <f t="shared" si="8"/>
        <v>6.7420706733124387</v>
      </c>
      <c r="O11">
        <f t="shared" si="9"/>
        <v>3.4072920146272135E-4</v>
      </c>
    </row>
    <row r="12" spans="3:15" x14ac:dyDescent="0.25">
      <c r="C12" s="7">
        <v>50</v>
      </c>
      <c r="D12" s="7">
        <v>54</v>
      </c>
      <c r="E12" s="4">
        <f t="shared" si="3"/>
        <v>52</v>
      </c>
      <c r="F12" s="7">
        <v>5.82</v>
      </c>
      <c r="G12">
        <f t="shared" si="4"/>
        <v>302.64</v>
      </c>
      <c r="H12">
        <f t="shared" si="5"/>
        <v>15737.279999999999</v>
      </c>
      <c r="I12">
        <f t="shared" si="6"/>
        <v>1805.7749516550002</v>
      </c>
      <c r="J12">
        <f t="shared" si="0"/>
        <v>3.9982007016691985</v>
      </c>
      <c r="K12">
        <f t="shared" si="1"/>
        <v>1.4104133021120717</v>
      </c>
      <c r="L12">
        <f t="shared" si="2"/>
        <v>0.92079116007419393</v>
      </c>
      <c r="M12">
        <f t="shared" si="7"/>
        <v>4.4815100314697043E-2</v>
      </c>
      <c r="N12">
        <f t="shared" si="8"/>
        <v>4.4815100314697043</v>
      </c>
      <c r="O12">
        <f t="shared" si="9"/>
        <v>0.39976601263317824</v>
      </c>
    </row>
    <row r="13" spans="3:15" x14ac:dyDescent="0.25">
      <c r="C13" s="7">
        <v>55</v>
      </c>
      <c r="D13" s="7">
        <v>59</v>
      </c>
      <c r="E13" s="4">
        <f t="shared" si="3"/>
        <v>57</v>
      </c>
      <c r="F13" s="7">
        <v>3.39</v>
      </c>
      <c r="G13">
        <f t="shared" si="4"/>
        <v>193.23000000000002</v>
      </c>
      <c r="H13">
        <f t="shared" si="5"/>
        <v>11014.11</v>
      </c>
      <c r="I13">
        <f t="shared" si="6"/>
        <v>1733.6989187475001</v>
      </c>
      <c r="J13">
        <f t="shared" si="0"/>
        <v>4.0859763125515842</v>
      </c>
      <c r="K13">
        <f t="shared" si="1"/>
        <v>1.6432969853789869</v>
      </c>
      <c r="L13">
        <f t="shared" si="2"/>
        <v>0.94983924913020312</v>
      </c>
      <c r="M13">
        <f t="shared" si="7"/>
        <v>2.9048089056009196E-2</v>
      </c>
      <c r="N13">
        <f t="shared" si="8"/>
        <v>2.9048089056009196</v>
      </c>
      <c r="O13">
        <f t="shared" si="9"/>
        <v>8.1041612627346979E-2</v>
      </c>
    </row>
    <row r="14" spans="3:15" x14ac:dyDescent="0.25">
      <c r="C14" s="7">
        <v>60</v>
      </c>
      <c r="D14" s="7">
        <v>64</v>
      </c>
      <c r="E14" s="4">
        <f t="shared" si="3"/>
        <v>62</v>
      </c>
      <c r="F14" s="7">
        <v>6.76</v>
      </c>
      <c r="G14">
        <f t="shared" si="4"/>
        <v>419.12</v>
      </c>
      <c r="H14">
        <f t="shared" si="5"/>
        <v>25985.439999999999</v>
      </c>
      <c r="I14">
        <f t="shared" si="6"/>
        <v>5154.9097252899992</v>
      </c>
      <c r="J14">
        <f t="shared" si="0"/>
        <v>4.1666652238017265</v>
      </c>
      <c r="K14">
        <f t="shared" si="1"/>
        <v>1.8573784444748331</v>
      </c>
      <c r="L14">
        <f t="shared" si="2"/>
        <v>0.96837133449191271</v>
      </c>
      <c r="M14">
        <f t="shared" si="7"/>
        <v>1.8532085361709583E-2</v>
      </c>
      <c r="N14">
        <f t="shared" si="8"/>
        <v>1.8532085361709583</v>
      </c>
      <c r="O14">
        <f t="shared" si="9"/>
        <v>12.991847382298308</v>
      </c>
    </row>
    <row r="15" spans="3:15" x14ac:dyDescent="0.25">
      <c r="D15" t="s">
        <v>39</v>
      </c>
      <c r="F15">
        <f>SUM(F4:F14)</f>
        <v>100</v>
      </c>
      <c r="G15">
        <f t="shared" ref="G15:I15" si="10">SUM(G4:G14)</f>
        <v>3438.5499999999997</v>
      </c>
      <c r="H15">
        <f t="shared" si="10"/>
        <v>136103.94999999998</v>
      </c>
      <c r="I15">
        <f t="shared" si="10"/>
        <v>17867.688975000001</v>
      </c>
      <c r="N15" t="s">
        <v>46</v>
      </c>
      <c r="O15">
        <f>SUM(O4:O14)</f>
        <v>16.126377174401828</v>
      </c>
    </row>
    <row r="17" spans="5:15" x14ac:dyDescent="0.25">
      <c r="E17" t="s">
        <v>31</v>
      </c>
      <c r="F17">
        <f>SUM(F4:F14)</f>
        <v>100</v>
      </c>
      <c r="N17" t="s">
        <v>47</v>
      </c>
      <c r="O17">
        <f>_xlfn.CHISQ.INV.RT(0.05, 8)</f>
        <v>15.507313055865453</v>
      </c>
    </row>
    <row r="18" spans="5:15" x14ac:dyDescent="0.25">
      <c r="E18" t="s">
        <v>30</v>
      </c>
      <c r="F18">
        <f>SUM(G4:G14)/F17</f>
        <v>34.3855</v>
      </c>
    </row>
    <row r="19" spans="5:15" x14ac:dyDescent="0.25">
      <c r="E19" t="s">
        <v>32</v>
      </c>
      <c r="F19">
        <f>1/(F17-1)*(H15-G15^2/F17)</f>
        <v>180.48170681818195</v>
      </c>
      <c r="G19">
        <f>I15/99</f>
        <v>180.48170681818183</v>
      </c>
    </row>
    <row r="20" spans="5:15" x14ac:dyDescent="0.25">
      <c r="E20" t="s">
        <v>42</v>
      </c>
      <c r="F20">
        <f>F19+F18^2</f>
        <v>1362.8443170681819</v>
      </c>
    </row>
    <row r="21" spans="5:15" x14ac:dyDescent="0.25">
      <c r="E21" t="s">
        <v>41</v>
      </c>
      <c r="F21">
        <f>LN(F18^2/SQRT(F20))</f>
        <v>3.4666053255876585</v>
      </c>
    </row>
    <row r="22" spans="5:15" x14ac:dyDescent="0.25">
      <c r="E22" t="s">
        <v>44</v>
      </c>
      <c r="F22">
        <f>LN(F20/F18^2)</f>
        <v>0.14205927660557893</v>
      </c>
    </row>
    <row r="23" spans="5:15" x14ac:dyDescent="0.25">
      <c r="E23" t="s">
        <v>43</v>
      </c>
      <c r="F23">
        <f>SQRT(F22)</f>
        <v>0.37690751731104932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966CF-58FF-434B-880D-8F4B6D8A8E6D}">
  <dimension ref="A3:L75"/>
  <sheetViews>
    <sheetView topLeftCell="C76" zoomScale="130" zoomScaleNormal="130" workbookViewId="0">
      <selection activeCell="I76" sqref="I76"/>
    </sheetView>
  </sheetViews>
  <sheetFormatPr defaultRowHeight="15" x14ac:dyDescent="0.25"/>
  <cols>
    <col min="4" max="4" width="18.28515625" bestFit="1" customWidth="1"/>
    <col min="5" max="5" width="22" bestFit="1" customWidth="1"/>
    <col min="6" max="6" width="22.42578125" bestFit="1" customWidth="1"/>
    <col min="7" max="7" width="22" bestFit="1" customWidth="1"/>
    <col min="8" max="8" width="22.42578125" bestFit="1" customWidth="1"/>
    <col min="9" max="9" width="10.42578125" customWidth="1"/>
    <col min="11" max="11" width="10.28515625" customWidth="1"/>
    <col min="12" max="12" width="12.140625" customWidth="1"/>
  </cols>
  <sheetData>
    <row r="3" spans="1:8" x14ac:dyDescent="0.25">
      <c r="A3">
        <v>1</v>
      </c>
    </row>
    <row r="4" spans="1:8" x14ac:dyDescent="0.25">
      <c r="C4" t="s">
        <v>48</v>
      </c>
      <c r="D4" t="s">
        <v>49</v>
      </c>
      <c r="E4" t="s">
        <v>65</v>
      </c>
      <c r="F4" t="s">
        <v>66</v>
      </c>
      <c r="G4" t="s">
        <v>67</v>
      </c>
      <c r="H4" t="s">
        <v>68</v>
      </c>
    </row>
    <row r="5" spans="1:8" x14ac:dyDescent="0.25">
      <c r="C5">
        <v>0</v>
      </c>
      <c r="D5">
        <v>0</v>
      </c>
      <c r="E5">
        <f>C5</f>
        <v>0</v>
      </c>
      <c r="F5">
        <f>D5</f>
        <v>0</v>
      </c>
      <c r="G5">
        <f>E5/$E$10*100</f>
        <v>0</v>
      </c>
      <c r="H5">
        <f>F5/$F$10*100</f>
        <v>0</v>
      </c>
    </row>
    <row r="6" spans="1:8" x14ac:dyDescent="0.25">
      <c r="C6">
        <v>100</v>
      </c>
      <c r="D6">
        <v>80</v>
      </c>
      <c r="E6">
        <f>E5+C6</f>
        <v>100</v>
      </c>
      <c r="F6">
        <f>F5+D6</f>
        <v>80</v>
      </c>
      <c r="G6">
        <f t="shared" ref="G6:G10" si="0">E6/$E$10*100</f>
        <v>5</v>
      </c>
      <c r="H6">
        <f t="shared" ref="H6:H10" si="1">F6/$F$10*100</f>
        <v>32</v>
      </c>
    </row>
    <row r="7" spans="1:8" x14ac:dyDescent="0.25">
      <c r="C7">
        <v>200</v>
      </c>
      <c r="D7">
        <v>70</v>
      </c>
      <c r="E7">
        <f t="shared" ref="E7:E10" si="2">E6+C7</f>
        <v>300</v>
      </c>
      <c r="F7">
        <f t="shared" ref="F7:F10" si="3">F6+D7</f>
        <v>150</v>
      </c>
      <c r="G7">
        <f t="shared" si="0"/>
        <v>15</v>
      </c>
      <c r="H7">
        <f t="shared" si="1"/>
        <v>60</v>
      </c>
    </row>
    <row r="8" spans="1:8" x14ac:dyDescent="0.25">
      <c r="C8">
        <v>400</v>
      </c>
      <c r="D8">
        <v>50</v>
      </c>
      <c r="E8">
        <f t="shared" si="2"/>
        <v>700</v>
      </c>
      <c r="F8">
        <f t="shared" si="3"/>
        <v>200</v>
      </c>
      <c r="G8">
        <f t="shared" si="0"/>
        <v>35</v>
      </c>
      <c r="H8">
        <f t="shared" si="1"/>
        <v>80</v>
      </c>
    </row>
    <row r="9" spans="1:8" x14ac:dyDescent="0.25">
      <c r="C9">
        <v>500</v>
      </c>
      <c r="D9">
        <v>30</v>
      </c>
      <c r="E9">
        <f t="shared" si="2"/>
        <v>1200</v>
      </c>
      <c r="F9">
        <f t="shared" si="3"/>
        <v>230</v>
      </c>
      <c r="G9">
        <f t="shared" si="0"/>
        <v>60</v>
      </c>
      <c r="H9">
        <f t="shared" si="1"/>
        <v>92</v>
      </c>
    </row>
    <row r="10" spans="1:8" x14ac:dyDescent="0.25">
      <c r="C10">
        <v>800</v>
      </c>
      <c r="D10">
        <v>20</v>
      </c>
      <c r="E10">
        <f t="shared" si="2"/>
        <v>2000</v>
      </c>
      <c r="F10">
        <f t="shared" si="3"/>
        <v>250</v>
      </c>
      <c r="G10">
        <f t="shared" si="0"/>
        <v>100</v>
      </c>
      <c r="H10">
        <f t="shared" si="1"/>
        <v>100</v>
      </c>
    </row>
    <row r="30" spans="1:12" ht="15.75" thickBot="1" x14ac:dyDescent="0.3">
      <c r="A30">
        <v>2</v>
      </c>
    </row>
    <row r="31" spans="1:12" ht="39.75" thickBot="1" x14ac:dyDescent="0.3">
      <c r="C31" s="1" t="s">
        <v>50</v>
      </c>
      <c r="D31" s="1" t="s">
        <v>26</v>
      </c>
      <c r="E31" s="1" t="s">
        <v>51</v>
      </c>
      <c r="F31" s="1" t="s">
        <v>57</v>
      </c>
      <c r="G31" s="1" t="s">
        <v>61</v>
      </c>
      <c r="H31" s="1" t="s">
        <v>58</v>
      </c>
      <c r="I31" s="1" t="s">
        <v>59</v>
      </c>
      <c r="J31" s="1" t="s">
        <v>60</v>
      </c>
      <c r="K31" s="1" t="s">
        <v>62</v>
      </c>
      <c r="L31" s="1" t="s">
        <v>63</v>
      </c>
    </row>
    <row r="32" spans="1:12" ht="15.75" thickBot="1" x14ac:dyDescent="0.3">
      <c r="C32" s="1"/>
      <c r="D32" s="1"/>
      <c r="E32" s="1"/>
      <c r="F32" s="1">
        <v>0</v>
      </c>
      <c r="G32" s="1"/>
      <c r="H32" s="1"/>
      <c r="I32" s="1">
        <v>0</v>
      </c>
      <c r="J32" s="1"/>
      <c r="K32" s="1"/>
      <c r="L32" s="1">
        <v>0</v>
      </c>
    </row>
    <row r="33" spans="3:12" ht="15.75" thickBot="1" x14ac:dyDescent="0.3">
      <c r="C33" s="1" t="s">
        <v>52</v>
      </c>
      <c r="D33" s="2">
        <v>50</v>
      </c>
      <c r="E33" s="2">
        <f>D33</f>
        <v>50</v>
      </c>
      <c r="F33" s="2">
        <f>E33/$E$37*100</f>
        <v>4</v>
      </c>
      <c r="G33" s="2">
        <v>8</v>
      </c>
      <c r="H33" s="2">
        <v>8</v>
      </c>
      <c r="I33" s="2">
        <v>32</v>
      </c>
      <c r="J33" s="2">
        <v>15</v>
      </c>
      <c r="K33" s="2">
        <v>15</v>
      </c>
      <c r="L33" s="2">
        <v>60</v>
      </c>
    </row>
    <row r="34" spans="3:12" ht="15.75" thickBot="1" x14ac:dyDescent="0.3">
      <c r="C34" s="1" t="s">
        <v>53</v>
      </c>
      <c r="D34" s="2">
        <v>150</v>
      </c>
      <c r="E34" s="2">
        <f>E33+D34</f>
        <v>200</v>
      </c>
      <c r="F34" s="2">
        <f t="shared" ref="F34:F37" si="4">E34/$E$37*100</f>
        <v>16</v>
      </c>
      <c r="G34" s="2">
        <v>7</v>
      </c>
      <c r="H34" s="2">
        <v>15</v>
      </c>
      <c r="I34" s="2">
        <v>60</v>
      </c>
      <c r="J34" s="2">
        <v>6</v>
      </c>
      <c r="K34" s="2">
        <v>21</v>
      </c>
      <c r="L34" s="2">
        <v>84</v>
      </c>
    </row>
    <row r="35" spans="3:12" ht="15.75" thickBot="1" x14ac:dyDescent="0.3">
      <c r="C35" s="1" t="s">
        <v>54</v>
      </c>
      <c r="D35" s="2">
        <v>250</v>
      </c>
      <c r="E35" s="2">
        <f t="shared" ref="E35:E37" si="5">E34+D35</f>
        <v>450</v>
      </c>
      <c r="F35" s="2">
        <f t="shared" si="4"/>
        <v>36</v>
      </c>
      <c r="G35" s="2">
        <v>5</v>
      </c>
      <c r="H35" s="2">
        <v>20</v>
      </c>
      <c r="I35" s="2">
        <v>80</v>
      </c>
      <c r="J35" s="2">
        <v>2</v>
      </c>
      <c r="K35" s="2">
        <v>23</v>
      </c>
      <c r="L35" s="2">
        <v>92</v>
      </c>
    </row>
    <row r="36" spans="3:12" ht="15.75" thickBot="1" x14ac:dyDescent="0.3">
      <c r="C36" s="1" t="s">
        <v>55</v>
      </c>
      <c r="D36" s="2">
        <v>350</v>
      </c>
      <c r="E36" s="2">
        <f t="shared" si="5"/>
        <v>800</v>
      </c>
      <c r="F36" s="2">
        <f t="shared" si="4"/>
        <v>64</v>
      </c>
      <c r="G36" s="2">
        <v>3</v>
      </c>
      <c r="H36" s="2">
        <v>23</v>
      </c>
      <c r="I36" s="2">
        <v>92</v>
      </c>
      <c r="J36" s="2">
        <v>1</v>
      </c>
      <c r="K36" s="2">
        <v>24</v>
      </c>
      <c r="L36" s="2">
        <v>96</v>
      </c>
    </row>
    <row r="37" spans="3:12" ht="15.75" thickBot="1" x14ac:dyDescent="0.3">
      <c r="C37" s="1" t="s">
        <v>56</v>
      </c>
      <c r="D37" s="2">
        <v>450</v>
      </c>
      <c r="E37" s="2">
        <f t="shared" si="5"/>
        <v>1250</v>
      </c>
      <c r="F37" s="2">
        <f t="shared" si="4"/>
        <v>100</v>
      </c>
      <c r="G37" s="2">
        <v>2</v>
      </c>
      <c r="H37" s="2">
        <v>25</v>
      </c>
      <c r="I37" s="2">
        <v>100</v>
      </c>
      <c r="J37" s="2">
        <v>1</v>
      </c>
      <c r="K37" s="2">
        <v>25</v>
      </c>
      <c r="L37" s="2">
        <v>100</v>
      </c>
    </row>
    <row r="57" spans="1:6" x14ac:dyDescent="0.25">
      <c r="B57">
        <v>3</v>
      </c>
    </row>
    <row r="58" spans="1:6" ht="15.75" thickBot="1" x14ac:dyDescent="0.3">
      <c r="A58">
        <v>3</v>
      </c>
    </row>
    <row r="59" spans="1:6" ht="27" thickBot="1" x14ac:dyDescent="0.3">
      <c r="D59" s="1" t="s">
        <v>64</v>
      </c>
      <c r="E59" s="1" t="s">
        <v>65</v>
      </c>
      <c r="F59" t="s">
        <v>69</v>
      </c>
    </row>
    <row r="60" spans="1:6" ht="15.75" thickBot="1" x14ac:dyDescent="0.3">
      <c r="D60" s="2">
        <v>0</v>
      </c>
      <c r="E60" s="2">
        <v>0</v>
      </c>
    </row>
    <row r="61" spans="1:6" ht="15.75" thickBot="1" x14ac:dyDescent="0.3">
      <c r="D61" s="2">
        <v>10</v>
      </c>
      <c r="E61" s="2">
        <v>0</v>
      </c>
      <c r="F61">
        <f>1/2*(E60+E61)*(D61-D60)</f>
        <v>0</v>
      </c>
    </row>
    <row r="62" spans="1:6" ht="15.75" thickBot="1" x14ac:dyDescent="0.3">
      <c r="D62" s="2">
        <v>20</v>
      </c>
      <c r="E62" s="2">
        <v>5</v>
      </c>
      <c r="F62">
        <f t="shared" ref="F62:F70" si="6">1/2*(E61+E62)*(D62-D61)</f>
        <v>25</v>
      </c>
    </row>
    <row r="63" spans="1:6" ht="15.75" thickBot="1" x14ac:dyDescent="0.3">
      <c r="D63" s="2">
        <v>30</v>
      </c>
      <c r="E63" s="2">
        <v>10</v>
      </c>
      <c r="F63">
        <f t="shared" si="6"/>
        <v>75</v>
      </c>
    </row>
    <row r="64" spans="1:6" ht="15.75" thickBot="1" x14ac:dyDescent="0.3">
      <c r="D64" s="2">
        <v>40</v>
      </c>
      <c r="E64" s="2">
        <v>15</v>
      </c>
      <c r="F64">
        <f t="shared" si="6"/>
        <v>125</v>
      </c>
    </row>
    <row r="65" spans="4:9" ht="15.75" thickBot="1" x14ac:dyDescent="0.3">
      <c r="D65" s="2">
        <v>50</v>
      </c>
      <c r="E65" s="2">
        <v>25</v>
      </c>
      <c r="F65">
        <f t="shared" si="6"/>
        <v>200</v>
      </c>
    </row>
    <row r="66" spans="4:9" ht="15.75" thickBot="1" x14ac:dyDescent="0.3">
      <c r="D66" s="2">
        <v>60</v>
      </c>
      <c r="E66" s="2">
        <v>35</v>
      </c>
      <c r="F66">
        <f t="shared" si="6"/>
        <v>300</v>
      </c>
    </row>
    <row r="67" spans="4:9" ht="15.75" thickBot="1" x14ac:dyDescent="0.3">
      <c r="D67" s="2">
        <v>70</v>
      </c>
      <c r="E67" s="2">
        <v>45</v>
      </c>
      <c r="F67">
        <f t="shared" si="6"/>
        <v>400</v>
      </c>
    </row>
    <row r="68" spans="4:9" ht="15.75" thickBot="1" x14ac:dyDescent="0.3">
      <c r="D68" s="2">
        <v>80</v>
      </c>
      <c r="E68" s="2">
        <v>55</v>
      </c>
      <c r="F68">
        <f t="shared" si="6"/>
        <v>500</v>
      </c>
    </row>
    <row r="69" spans="4:9" ht="15.75" thickBot="1" x14ac:dyDescent="0.3">
      <c r="D69" s="2">
        <v>90</v>
      </c>
      <c r="E69" s="2">
        <v>75</v>
      </c>
      <c r="F69">
        <f t="shared" si="6"/>
        <v>650</v>
      </c>
    </row>
    <row r="70" spans="4:9" ht="15.75" thickBot="1" x14ac:dyDescent="0.3">
      <c r="D70" s="2">
        <v>100</v>
      </c>
      <c r="E70" s="2">
        <v>100</v>
      </c>
      <c r="F70">
        <f t="shared" si="6"/>
        <v>875</v>
      </c>
    </row>
    <row r="73" spans="4:9" x14ac:dyDescent="0.25">
      <c r="H73" t="s">
        <v>70</v>
      </c>
      <c r="I73">
        <f>1/2*100*100</f>
        <v>5000</v>
      </c>
    </row>
    <row r="74" spans="4:9" x14ac:dyDescent="0.25">
      <c r="H74" t="s">
        <v>71</v>
      </c>
      <c r="I74">
        <f>I73-SUM(F61:F70)</f>
        <v>1850</v>
      </c>
    </row>
    <row r="75" spans="4:9" x14ac:dyDescent="0.25">
      <c r="H75" t="s">
        <v>72</v>
      </c>
      <c r="I75">
        <f>I74/I73</f>
        <v>0.37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E0793-EA19-4360-BACE-1F54F3764E0B}">
  <dimension ref="C4:K20"/>
  <sheetViews>
    <sheetView tabSelected="1" workbookViewId="0">
      <selection activeCell="I8" sqref="I8"/>
    </sheetView>
  </sheetViews>
  <sheetFormatPr defaultRowHeight="15" x14ac:dyDescent="0.25"/>
  <cols>
    <col min="6" max="6" width="12" bestFit="1" customWidth="1"/>
  </cols>
  <sheetData>
    <row r="4" spans="3:11" x14ac:dyDescent="0.25">
      <c r="C4" t="s">
        <v>73</v>
      </c>
      <c r="D4" t="s">
        <v>75</v>
      </c>
      <c r="E4" t="s">
        <v>74</v>
      </c>
      <c r="F4" t="s">
        <v>78</v>
      </c>
      <c r="G4" t="s">
        <v>79</v>
      </c>
    </row>
    <row r="5" spans="3:11" x14ac:dyDescent="0.25">
      <c r="C5">
        <v>136</v>
      </c>
      <c r="D5">
        <v>54300.1</v>
      </c>
      <c r="E5">
        <v>29100.799999999999</v>
      </c>
      <c r="F5">
        <f>LN(D5)</f>
        <v>10.902281347540956</v>
      </c>
      <c r="G5">
        <f>LN(E5)</f>
        <v>10.278520944190637</v>
      </c>
    </row>
    <row r="6" spans="3:11" x14ac:dyDescent="0.25">
      <c r="C6">
        <v>179</v>
      </c>
      <c r="D6">
        <v>68100.3</v>
      </c>
      <c r="E6">
        <v>33100.6</v>
      </c>
      <c r="F6">
        <f t="shared" ref="F6:G8" si="0">LN(D6)</f>
        <v>11.128736897414244</v>
      </c>
      <c r="G6">
        <f t="shared" si="0"/>
        <v>10.407306688089081</v>
      </c>
    </row>
    <row r="7" spans="3:11" x14ac:dyDescent="0.25">
      <c r="C7">
        <v>111</v>
      </c>
      <c r="D7">
        <v>86100.9</v>
      </c>
      <c r="E7">
        <v>37400.400000000001</v>
      </c>
      <c r="F7">
        <f t="shared" si="0"/>
        <v>11.363275143322863</v>
      </c>
      <c r="G7">
        <f t="shared" si="0"/>
        <v>10.529436678532596</v>
      </c>
    </row>
    <row r="8" spans="3:11" x14ac:dyDescent="0.25">
      <c r="C8">
        <v>22</v>
      </c>
      <c r="D8">
        <v>123200</v>
      </c>
      <c r="E8">
        <v>40700.1</v>
      </c>
      <c r="F8">
        <f t="shared" si="0"/>
        <v>11.721564330081556</v>
      </c>
      <c r="G8">
        <f t="shared" si="0"/>
        <v>10.613985828430124</v>
      </c>
    </row>
    <row r="13" spans="3:11" x14ac:dyDescent="0.25">
      <c r="C13" t="s">
        <v>76</v>
      </c>
    </row>
    <row r="14" spans="3:11" x14ac:dyDescent="0.25">
      <c r="C14" t="s">
        <v>73</v>
      </c>
      <c r="D14">
        <f>SUM(C5:C8)</f>
        <v>448</v>
      </c>
      <c r="F14" t="s">
        <v>77</v>
      </c>
      <c r="G14">
        <f>SUMPRODUCT(C5:C8, F5:F8)</f>
        <v>4993.952124073352</v>
      </c>
      <c r="J14" t="s">
        <v>85</v>
      </c>
      <c r="K14">
        <f>(D14*G17-G14*G15)/(D14*G16-G14^2)</f>
        <v>0.47584445659515778</v>
      </c>
    </row>
    <row r="15" spans="3:11" x14ac:dyDescent="0.25">
      <c r="C15" t="s">
        <v>81</v>
      </c>
      <c r="D15">
        <f>SUM(F5:F8)</f>
        <v>45.115857718359614</v>
      </c>
      <c r="F15" t="s">
        <v>80</v>
      </c>
      <c r="G15">
        <f>SUMPRODUCT(C5:C8, G5:G8)</f>
        <v>4663.061905120453</v>
      </c>
      <c r="J15" t="s">
        <v>86</v>
      </c>
      <c r="K15">
        <f>(G15-K14*G14)/D14</f>
        <v>5.1042800678092295</v>
      </c>
    </row>
    <row r="16" spans="3:11" x14ac:dyDescent="0.25">
      <c r="C16" t="s">
        <v>82</v>
      </c>
      <c r="D16">
        <f>SUM(G5:G8)</f>
        <v>41.82925013924244</v>
      </c>
      <c r="F16" t="s">
        <v>83</v>
      </c>
      <c r="G16">
        <f>SUMPRODUCT(C5:C8, F5:F8, F5:F8)</f>
        <v>55689.314937483017</v>
      </c>
      <c r="J16" t="s">
        <v>87</v>
      </c>
      <c r="K16">
        <f>D14/(D14*G16-G14^2)</f>
        <v>4.8404831444691911E-2</v>
      </c>
    </row>
    <row r="17" spans="6:11" x14ac:dyDescent="0.25">
      <c r="F17" t="s">
        <v>84</v>
      </c>
      <c r="G17">
        <f>SUMPRODUCT(C5:C8, F5:F8, G5:G8)</f>
        <v>51989.982091084385</v>
      </c>
      <c r="J17" t="s">
        <v>88</v>
      </c>
      <c r="K17">
        <f>SQRT(K16)</f>
        <v>0.220010980282103</v>
      </c>
    </row>
    <row r="20" spans="6:11" x14ac:dyDescent="0.25">
      <c r="J20" t="s">
        <v>89</v>
      </c>
      <c r="K20">
        <f>K14/K17</f>
        <v>2.1628214009365321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B9363F-F50B-4844-AC26-224D7B9B3B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 01</vt:lpstr>
      <vt:lpstr>Problem 02</vt:lpstr>
      <vt:lpstr>Problem 03</vt:lpstr>
      <vt:lpstr>Problem 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Ashik E Elahi</dc:creator>
  <cp:lastModifiedBy>Ashik E Elahi</cp:lastModifiedBy>
  <dcterms:created xsi:type="dcterms:W3CDTF">2026-04-01T13:23:50Z</dcterms:created>
  <dcterms:modified xsi:type="dcterms:W3CDTF">2026-04-01T15:58:01Z</dcterms:modified>
</cp:coreProperties>
</file>